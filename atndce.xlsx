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mya Shah\Desktop\CS50x Final Project\"/>
    </mc:Choice>
  </mc:AlternateContent>
  <xr:revisionPtr revIDLastSave="0" documentId="13_ncr:1_{BE46A369-A2EA-476B-A8B7-B040F0999012}" xr6:coauthVersionLast="47" xr6:coauthVersionMax="47" xr10:uidLastSave="{00000000-0000-0000-0000-000000000000}"/>
  <bookViews>
    <workbookView xWindow="-108" yWindow="-108" windowWidth="23256" windowHeight="13896" xr2:uid="{8F58E482-B4BF-46FB-8C0B-FF84C0A6016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G9" i="1"/>
  <c r="H9" i="1"/>
  <c r="G6" i="1"/>
  <c r="H6" i="1" s="1"/>
  <c r="G4" i="1"/>
  <c r="G3" i="1"/>
  <c r="H13" i="1"/>
  <c r="H12" i="1"/>
  <c r="H11" i="1"/>
  <c r="H10" i="1"/>
  <c r="H8" i="1"/>
  <c r="H7" i="1"/>
  <c r="H5" i="1"/>
  <c r="H4" i="1"/>
  <c r="H3" i="1"/>
  <c r="H2" i="1"/>
  <c r="G2" i="1"/>
  <c r="G13" i="1"/>
  <c r="G12" i="1"/>
  <c r="G11" i="1"/>
  <c r="G10" i="1"/>
  <c r="G8" i="1"/>
  <c r="G7" i="1"/>
  <c r="G5" i="1"/>
  <c r="F13" i="1"/>
  <c r="F12" i="1"/>
  <c r="F11" i="1"/>
  <c r="F9" i="1"/>
  <c r="F8" i="1"/>
  <c r="F7" i="1"/>
  <c r="F6" i="1"/>
  <c r="F5" i="1"/>
  <c r="F4" i="1"/>
  <c r="F3" i="1"/>
  <c r="F2" i="1"/>
  <c r="E13" i="1"/>
  <c r="E12" i="1"/>
  <c r="E11" i="1"/>
  <c r="E10" i="1"/>
  <c r="E9" i="1"/>
  <c r="E8" i="1"/>
  <c r="E7" i="1"/>
  <c r="E6" i="1"/>
  <c r="E5" i="1"/>
  <c r="E4" i="1"/>
  <c r="E3" i="1"/>
  <c r="E2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<sst xmlns="http://schemas.openxmlformats.org/spreadsheetml/2006/main" count="39" uniqueCount="20">
  <si>
    <t>emp_id</t>
  </si>
  <si>
    <t>date</t>
  </si>
  <si>
    <t>week_day</t>
  </si>
  <si>
    <t>day_type</t>
  </si>
  <si>
    <t>emp_name</t>
  </si>
  <si>
    <t>in_time</t>
  </si>
  <si>
    <t>out_time</t>
  </si>
  <si>
    <t>wrk_hrs</t>
  </si>
  <si>
    <t>status</t>
  </si>
  <si>
    <t>Vaishali Shah</t>
  </si>
  <si>
    <t>crshah</t>
  </si>
  <si>
    <t>Vaishali Chirag Shah</t>
  </si>
  <si>
    <t>Namya Chirag Shah</t>
  </si>
  <si>
    <t>id</t>
  </si>
  <si>
    <t>name</t>
  </si>
  <si>
    <t>working day</t>
  </si>
  <si>
    <t>regular</t>
  </si>
  <si>
    <t>half</t>
  </si>
  <si>
    <t>early</t>
  </si>
  <si>
    <t>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</si>
</sst>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Inte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916C4-198C-495D-89F2-A0497419BDCA}">
  <dimension ref="A1:I13"/>
  <sheetViews>
    <sheetView tabSelected="1" workbookViewId="0">
      <selection activeCell="I14" sqref="I14"/>
    </sheetView>
  </sheetViews>
  <sheetFormatPr defaultRowHeight="14.4"/>
  <cols>
    <col min="1" max="1" width="6.77734375" bestFit="1" customWidth="1"/>
    <col min="2" max="2" width="10.33203125" bestFit="1" customWidth="1"/>
    <col min="4" max="4" width="10.33203125" bestFit="1" customWidth="1"/>
    <col min="5" max="5" width="17.44140625" bestFit="1" customWidth="1"/>
    <col min="12" max="12" width="3.21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</v>
      </c>
      <c r="B2" s="3">
        <v>46204</v>
      </c>
      <c r="C2" t="str">
        <f>TEXT(+WEEKDAY(B2),"DDDD")</f>
        <v>Wednesday</v>
      </c>
      <c r="D2" t="s">
        <v>15</v>
      </c>
      <c r="E2" t="str">
        <f>+VLOOKUP(A2,Sheet2!$A$1:$B$5,2,FALSE)</f>
        <v>Vaishali Shah</v>
      </c>
      <c r="F2" s="4">
        <f>+TIME(10,0,0)</f>
        <v>0.41666666666666669</v>
      </c>
      <c r="G2" s="4">
        <f>+TIME(19,0,0)</f>
        <v>0.79166666666666663</v>
      </c>
      <c r="H2" s="4">
        <f>+G2-F2</f>
        <v>0.37499999999999994</v>
      </c>
      <c r="I2" t="s">
        <v>16</v>
      </c>
    </row>
    <row r="3" spans="1:9">
      <c r="A3">
        <v>9</v>
      </c>
      <c r="B3" s="3">
        <v>46204</v>
      </c>
      <c r="C3" t="str">
        <f t="shared" ref="C3:C13" si="0">TEXT(+WEEKDAY(B3),"DDDD")</f>
        <v>Wednesday</v>
      </c>
      <c r="D3" t="s">
        <v>15</v>
      </c>
      <c r="E3" t="str">
        <f>+VLOOKUP(A3,Sheet2!$A$1:$B$5,2,FALSE)</f>
        <v>crshah</v>
      </c>
      <c r="F3" s="4">
        <f t="shared" ref="F3:G13" si="1">+TIME(10,0,0)</f>
        <v>0.41666666666666669</v>
      </c>
      <c r="G3" s="4">
        <f>+TIME(15,0,0)</f>
        <v>0.625</v>
      </c>
      <c r="H3" s="4">
        <f t="shared" ref="H3:H13" si="2">+G3-F3</f>
        <v>0.20833333333333331</v>
      </c>
      <c r="I3" t="s">
        <v>16</v>
      </c>
    </row>
    <row r="4" spans="1:9">
      <c r="A4">
        <v>10</v>
      </c>
      <c r="B4" s="3">
        <v>46204</v>
      </c>
      <c r="C4" t="str">
        <f t="shared" si="0"/>
        <v>Wednesday</v>
      </c>
      <c r="D4" t="s">
        <v>15</v>
      </c>
      <c r="E4" t="str">
        <f>+VLOOKUP(A4,Sheet2!$A$1:$B$5,2,FALSE)</f>
        <v>Vaishali Chirag Shah</v>
      </c>
      <c r="F4" s="4">
        <f t="shared" si="1"/>
        <v>0.41666666666666669</v>
      </c>
      <c r="G4" s="4">
        <f>+TIME(15,0,0)</f>
        <v>0.625</v>
      </c>
      <c r="H4" s="4">
        <f t="shared" si="2"/>
        <v>0.20833333333333331</v>
      </c>
      <c r="I4" t="s">
        <v>17</v>
      </c>
    </row>
    <row r="5" spans="1:9">
      <c r="A5">
        <v>11</v>
      </c>
      <c r="B5" s="3">
        <v>46204</v>
      </c>
      <c r="C5" t="str">
        <f t="shared" si="0"/>
        <v>Wednesday</v>
      </c>
      <c r="D5" t="s">
        <v>15</v>
      </c>
      <c r="E5" t="str">
        <f>+VLOOKUP(A5,Sheet2!$A$1:$B$5,2,FALSE)</f>
        <v>Namya Chirag Shah</v>
      </c>
      <c r="F5" s="4">
        <f t="shared" si="1"/>
        <v>0.41666666666666669</v>
      </c>
      <c r="G5" s="4">
        <f t="shared" ref="G4:G13" si="3">+TIME(19,0,0)</f>
        <v>0.79166666666666663</v>
      </c>
      <c r="H5" s="4">
        <f t="shared" si="2"/>
        <v>0.37499999999999994</v>
      </c>
      <c r="I5" t="s">
        <v>16</v>
      </c>
    </row>
    <row r="6" spans="1:9">
      <c r="A6">
        <v>8</v>
      </c>
      <c r="B6" s="3">
        <v>46205</v>
      </c>
      <c r="C6" t="str">
        <f t="shared" si="0"/>
        <v>Thursday</v>
      </c>
      <c r="D6" t="s">
        <v>15</v>
      </c>
      <c r="E6" t="str">
        <f>+VLOOKUP(A6,Sheet2!$A$1:$B$5,2,FALSE)</f>
        <v>Vaishali Shah</v>
      </c>
      <c r="F6" s="4">
        <f t="shared" si="1"/>
        <v>0.41666666666666669</v>
      </c>
      <c r="G6" s="4">
        <f>+TIME(20,0,0)</f>
        <v>0.83333333333333337</v>
      </c>
      <c r="H6" s="4">
        <f t="shared" si="2"/>
        <v>0.41666666666666669</v>
      </c>
      <c r="I6" t="s">
        <v>16</v>
      </c>
    </row>
    <row r="7" spans="1:9">
      <c r="A7">
        <v>9</v>
      </c>
      <c r="B7" s="3">
        <v>46205</v>
      </c>
      <c r="C7" t="str">
        <f t="shared" si="0"/>
        <v>Thursday</v>
      </c>
      <c r="D7" t="s">
        <v>15</v>
      </c>
      <c r="E7" t="str">
        <f>+VLOOKUP(A7,Sheet2!$A$1:$B$5,2,FALSE)</f>
        <v>crshah</v>
      </c>
      <c r="F7" s="4">
        <f t="shared" si="1"/>
        <v>0.41666666666666669</v>
      </c>
      <c r="G7" s="4">
        <f t="shared" si="3"/>
        <v>0.79166666666666663</v>
      </c>
      <c r="H7" s="4">
        <f t="shared" si="2"/>
        <v>0.37499999999999994</v>
      </c>
      <c r="I7" t="s">
        <v>16</v>
      </c>
    </row>
    <row r="8" spans="1:9">
      <c r="A8">
        <v>10</v>
      </c>
      <c r="B8" s="3">
        <v>46205</v>
      </c>
      <c r="C8" t="str">
        <f t="shared" si="0"/>
        <v>Thursday</v>
      </c>
      <c r="D8" t="s">
        <v>15</v>
      </c>
      <c r="E8" t="str">
        <f>+VLOOKUP(A8,Sheet2!$A$1:$B$5,2,FALSE)</f>
        <v>Vaishali Chirag Shah</v>
      </c>
      <c r="F8" s="4">
        <f t="shared" si="1"/>
        <v>0.41666666666666669</v>
      </c>
      <c r="G8" s="4">
        <f t="shared" si="3"/>
        <v>0.79166666666666663</v>
      </c>
      <c r="H8" s="4">
        <f t="shared" si="2"/>
        <v>0.37499999999999994</v>
      </c>
      <c r="I8" t="s">
        <v>16</v>
      </c>
    </row>
    <row r="9" spans="1:9">
      <c r="A9">
        <v>11</v>
      </c>
      <c r="B9" s="3">
        <v>46205</v>
      </c>
      <c r="C9" t="str">
        <f t="shared" si="0"/>
        <v>Thursday</v>
      </c>
      <c r="D9" t="s">
        <v>15</v>
      </c>
      <c r="E9" t="str">
        <f>+VLOOKUP(A9,Sheet2!$A$1:$B$5,2,FALSE)</f>
        <v>Namya Chirag Shah</v>
      </c>
      <c r="F9" s="4">
        <f t="shared" si="1"/>
        <v>0.41666666666666669</v>
      </c>
      <c r="G9" s="4">
        <f>+TIME(18,0,0)</f>
        <v>0.75</v>
      </c>
      <c r="H9" s="4">
        <f t="shared" si="2"/>
        <v>0.33333333333333331</v>
      </c>
      <c r="I9" t="s">
        <v>18</v>
      </c>
    </row>
    <row r="10" spans="1:9">
      <c r="A10">
        <v>8</v>
      </c>
      <c r="B10" s="3">
        <v>46206</v>
      </c>
      <c r="C10" t="str">
        <f t="shared" si="0"/>
        <v>Friday</v>
      </c>
      <c r="D10" t="s">
        <v>15</v>
      </c>
      <c r="E10" t="str">
        <f>+VLOOKUP(A10,Sheet2!$A$1:$B$5,2,FALSE)</f>
        <v>Vaishali Shah</v>
      </c>
      <c r="F10" s="4">
        <f>+TIME(11,0,0)</f>
        <v>0.45833333333333331</v>
      </c>
      <c r="G10" s="4">
        <f t="shared" si="3"/>
        <v>0.79166666666666663</v>
      </c>
      <c r="H10" s="4">
        <f t="shared" si="2"/>
        <v>0.33333333333333331</v>
      </c>
      <c r="I10" t="s">
        <v>19</v>
      </c>
    </row>
    <row r="11" spans="1:9">
      <c r="A11">
        <v>9</v>
      </c>
      <c r="B11" s="3">
        <v>46206</v>
      </c>
      <c r="C11" t="str">
        <f t="shared" si="0"/>
        <v>Friday</v>
      </c>
      <c r="D11" t="s">
        <v>15</v>
      </c>
      <c r="E11" t="str">
        <f>+VLOOKUP(A11,Sheet2!$A$1:$B$5,2,FALSE)</f>
        <v>crshah</v>
      </c>
      <c r="F11" s="4">
        <f t="shared" si="1"/>
        <v>0.41666666666666669</v>
      </c>
      <c r="G11" s="4">
        <f t="shared" si="3"/>
        <v>0.79166666666666663</v>
      </c>
      <c r="H11" s="4">
        <f t="shared" si="2"/>
        <v>0.37499999999999994</v>
      </c>
      <c r="I11" t="s">
        <v>16</v>
      </c>
    </row>
    <row r="12" spans="1:9">
      <c r="A12">
        <v>10</v>
      </c>
      <c r="B12" s="3">
        <v>46206</v>
      </c>
      <c r="C12" t="str">
        <f t="shared" si="0"/>
        <v>Friday</v>
      </c>
      <c r="D12" t="s">
        <v>15</v>
      </c>
      <c r="E12" t="str">
        <f>+VLOOKUP(A12,Sheet2!$A$1:$B$5,2,FALSE)</f>
        <v>Vaishali Chirag Shah</v>
      </c>
      <c r="F12" s="4">
        <f t="shared" si="1"/>
        <v>0.41666666666666669</v>
      </c>
      <c r="G12" s="4">
        <f t="shared" si="3"/>
        <v>0.79166666666666663</v>
      </c>
      <c r="H12" s="4">
        <f t="shared" si="2"/>
        <v>0.37499999999999994</v>
      </c>
      <c r="I12" t="s">
        <v>16</v>
      </c>
    </row>
    <row r="13" spans="1:9">
      <c r="A13">
        <v>11</v>
      </c>
      <c r="B13" s="3">
        <v>46206</v>
      </c>
      <c r="C13" t="str">
        <f t="shared" si="0"/>
        <v>Friday</v>
      </c>
      <c r="D13" t="s">
        <v>15</v>
      </c>
      <c r="E13" t="str">
        <f>+VLOOKUP(A13,Sheet2!$A$1:$B$5,2,FALSE)</f>
        <v>Namya Chirag Shah</v>
      </c>
      <c r="F13" s="4">
        <f t="shared" si="1"/>
        <v>0.41666666666666669</v>
      </c>
      <c r="G13" s="4">
        <f t="shared" si="3"/>
        <v>0.79166666666666663</v>
      </c>
      <c r="H13" s="4">
        <f t="shared" si="2"/>
        <v>0.37499999999999994</v>
      </c>
      <c r="I1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0B98C-799C-4082-B2A4-2CB633BC5854}">
  <dimension ref="A1:D5"/>
  <sheetViews>
    <sheetView workbookViewId="0"/>
  </sheetViews>
  <sheetFormatPr defaultRowHeight="14.4"/>
  <sheetData>
    <row r="1" spans="1:4">
      <c r="A1" t="s">
        <v>13</v>
      </c>
      <c r="B1" t="s">
        <v>14</v>
      </c>
    </row>
    <row r="2" spans="1:4" ht="27.6">
      <c r="A2" s="2">
        <v>8</v>
      </c>
      <c r="B2" s="2" t="s">
        <v>9</v>
      </c>
      <c r="C2" s="2"/>
      <c r="D2" s="2"/>
    </row>
    <row r="3" spans="1:4">
      <c r="A3" s="2">
        <v>9</v>
      </c>
      <c r="B3" s="2" t="s">
        <v>10</v>
      </c>
      <c r="C3" s="2"/>
      <c r="D3" s="2"/>
    </row>
    <row r="4" spans="1:4" ht="41.4">
      <c r="A4" s="2">
        <v>10</v>
      </c>
      <c r="B4" s="2" t="s">
        <v>11</v>
      </c>
      <c r="C4" s="2"/>
      <c r="D4" s="2"/>
    </row>
    <row r="5" spans="1:4" ht="41.4">
      <c r="A5" s="2">
        <v>11</v>
      </c>
      <c r="B5" s="2" t="s">
        <v>12</v>
      </c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namyacs17@outlook.com</dc:creator>
  <cp:lastModifiedBy>namyacs17@outlook.com</cp:lastModifiedBy>
  <cp:lastPrinted>2026-07-24T17:07:20Z</cp:lastPrinted>
  <dcterms:created xsi:type="dcterms:W3CDTF">2026-07-24T16:22:34Z</dcterms:created>
  <dcterms:modified xsi:type="dcterms:W3CDTF">2026-07-24T17:08:44Z</dcterms:modified>
</cp:coreProperties>
</file>